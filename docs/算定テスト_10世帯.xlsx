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テスト結果" sheetId="1" state="visible" r:id="rId1"/>
    <sheet xmlns:r="http://schemas.openxmlformats.org/officeDocument/2006/relationships" name="医療判定" sheetId="2" state="visible" r:id="rId2"/>
    <sheet xmlns:r="http://schemas.openxmlformats.org/officeDocument/2006/relationships" name="パラメータ" sheetId="3" state="visible" r:id="rId3"/>
    <sheet xmlns:r="http://schemas.openxmlformats.org/officeDocument/2006/relationships" name="教育費(段階別)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;\(#,##0\);\-"/>
    <numFmt numFmtId="165" formatCode="#,##0.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1F3864"/>
      <sz val="14"/>
    </font>
    <font>
      <name val="Arial"/>
      <charset val="1"/>
      <family val="0"/>
      <b val="1"/>
      <color rgb="FF1F3864"/>
      <sz val="14"/>
    </font>
    <font>
      <name val="Noto Sans CJK SC"/>
      <family val="2"/>
      <i val="1"/>
      <color rgb="FF808080"/>
      <sz val="9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sz val="9"/>
    </font>
    <font>
      <name val="Noto Sans CJK SC"/>
      <family val="2"/>
      <sz val="9"/>
    </font>
    <font>
      <name val="Arial"/>
      <charset val="1"/>
      <family val="0"/>
      <b val="1"/>
      <sz val="9"/>
    </font>
    <font>
      <name val="Noto Sans CJK SC"/>
      <family val="2"/>
      <b val="1"/>
      <sz val="10"/>
    </font>
    <font>
      <name val="Noto Sans CJK SC"/>
      <family val="2"/>
      <color rgb="FF404040"/>
      <sz val="9"/>
    </font>
    <font>
      <name val="Arial"/>
      <charset val="1"/>
      <family val="0"/>
      <color rgb="FF404040"/>
      <sz val="9"/>
    </font>
    <font>
      <name val="Noto Sans CJK SC"/>
      <family val="2"/>
      <b val="1"/>
      <sz val="9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color rgb="FF0000FF"/>
      <sz val="9"/>
    </font>
    <font>
      <name val="Noto Sans CJK SC"/>
      <family val="2"/>
      <b val="1"/>
      <color rgb="FFC00000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E2EFDA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right" vertical="bottom"/>
    </xf>
    <xf numFmtId="164" fontId="12" fillId="3" borderId="1" applyAlignment="1" pivotButton="0" quotePrefix="0" xfId="0">
      <alignment horizontal="right" vertical="bottom"/>
    </xf>
    <xf numFmtId="164" fontId="12" fillId="4" borderId="1" applyAlignment="1" pivotButton="0" quotePrefix="0" xfId="0">
      <alignment horizontal="center" vertical="bottom"/>
    </xf>
    <xf numFmtId="164" fontId="12" fillId="5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2" borderId="1" applyAlignment="1" pivotButton="0" quotePrefix="0" xfId="0">
      <alignment horizontal="center" vertical="bottom" wrapText="1"/>
    </xf>
    <xf numFmtId="3" fontId="10" fillId="0" borderId="1" applyAlignment="1" pivotButton="0" quotePrefix="0" xfId="0">
      <alignment horizontal="right" vertical="bottom"/>
    </xf>
    <xf numFmtId="165" fontId="10" fillId="0" borderId="1" applyAlignment="1" pivotButton="0" quotePrefix="0" xfId="0">
      <alignment horizontal="right" vertical="bottom"/>
    </xf>
    <xf numFmtId="3" fontId="10" fillId="4" borderId="1" applyAlignment="1" pivotButton="0" quotePrefix="0" xfId="0">
      <alignment horizontal="center" vertical="bottom"/>
    </xf>
    <xf numFmtId="3" fontId="10" fillId="5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9" fillId="6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right" vertical="bottom"/>
    </xf>
    <xf numFmtId="164" fontId="12" fillId="3" borderId="1" applyAlignment="1" pivotButton="0" quotePrefix="0" xfId="0">
      <alignment horizontal="right" vertical="bottom"/>
    </xf>
    <xf numFmtId="164" fontId="12" fillId="4" borderId="1" applyAlignment="1" pivotButton="0" quotePrefix="0" xfId="0">
      <alignment horizontal="center" vertical="bottom"/>
    </xf>
    <xf numFmtId="164" fontId="12" fillId="5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2" borderId="1" applyAlignment="1" pivotButton="0" quotePrefix="0" xfId="0">
      <alignment horizontal="center" vertical="bottom" wrapText="1"/>
    </xf>
    <xf numFmtId="3" fontId="10" fillId="0" borderId="1" applyAlignment="1" pivotButton="0" quotePrefix="0" xfId="0">
      <alignment horizontal="right" vertical="bottom"/>
    </xf>
    <xf numFmtId="165" fontId="10" fillId="0" borderId="1" applyAlignment="1" pivotButton="0" quotePrefix="0" xfId="0">
      <alignment horizontal="right" vertical="bottom"/>
    </xf>
    <xf numFmtId="3" fontId="10" fillId="4" borderId="1" applyAlignment="1" pivotButton="0" quotePrefix="0" xfId="0">
      <alignment horizontal="center" vertical="bottom"/>
    </xf>
    <xf numFmtId="3" fontId="10" fillId="5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9" fillId="6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44" customWidth="1" style="26" min="2" max="2"/>
    <col width="11" customWidth="1" style="26" min="3" max="3"/>
    <col width="10" customWidth="1" style="26" min="4" max="5"/>
    <col width="13" customWidth="1" style="26" min="6" max="7"/>
    <col width="9" customWidth="1" style="26" min="8" max="9"/>
    <col width="12" customWidth="1" style="26" min="10" max="10"/>
    <col width="10" customWidth="1" style="26" min="11" max="11"/>
    <col width="12" customWidth="1" style="26" min="12" max="13"/>
    <col width="13" customWidth="1" style="26" min="14" max="14"/>
    <col width="14" customWidth="1" style="26" min="15" max="15"/>
    <col width="10" customWidth="1" style="26" min="16" max="20"/>
    <col width="12" customWidth="1" style="26" min="21" max="21"/>
    <col width="11" customWidth="1" style="26" min="22" max="22"/>
    <col width="10" customWidth="1" style="26" min="23" max="23"/>
  </cols>
  <sheetData>
    <row r="1" ht="21.6" customHeight="1" s="27">
      <c r="A1" s="28" t="inlineStr">
        <is>
          <t>必要保障額 算定エンジン テストケース（grill後 v0.2 / 10世帯・19死亡ケース）</t>
        </is>
      </c>
    </row>
    <row r="2" ht="15" customHeight="1" s="27">
      <c r="A2" s="29" t="inlineStr">
        <is>
          <t>単位：万円。支出計・収入計・必要額・過不足は数式。内訳を書き換えると再計算されます。</t>
        </is>
      </c>
    </row>
    <row r="3" ht="15" customHeight="1" s="27">
      <c r="A3" s="29" t="inlineStr">
        <is>
          <t>判定：shortage=不足／sufficient=充足（上乗せ目安を提示）／ample=余剰が大きく上乗せも不要／not_needed=扶養家族なし</t>
        </is>
      </c>
    </row>
    <row r="4">
      <c r="A4" s="26" t="inlineStr">
        <is>
          <t>2026-09-23再構築（60dbe72追随・検算自体は8/23に人が実施済み）。教育費を段階別モデル（対応コミット 60dbe72・2026-08-23）に追随。GT-02・GT-06 の教育費／必要額／提示レンジを「教育費(段階別)」シートの式から引き直した。他8世帯は不変。 2026-10-17：遺族年金の受給要件を現行制度に合わせた（QA指摘）。GT-04 の遺族厚生年金を5年→算定期間いっぱい（M12・M13）、亡くなった人に遺族厚生年金が無いケースの中高齢寡婦加算を0（N9・N15・N16）。金額が変わるのは GT-06 本人死亡だけ。</t>
        </is>
      </c>
    </row>
    <row r="5" ht="31.5" customHeight="1" s="27">
      <c r="A5" s="30" t="inlineStr">
        <is>
          <t>ID</t>
        </is>
      </c>
      <c r="B5" s="31" t="inlineStr">
        <is>
          <t>世帯</t>
        </is>
      </c>
      <c r="C5" s="31" t="inlineStr">
        <is>
          <t>死亡ケース</t>
        </is>
      </c>
      <c r="D5" s="31" t="inlineStr">
        <is>
          <t>子育て年数</t>
        </is>
      </c>
      <c r="E5" s="31" t="inlineStr">
        <is>
          <t>独立後年数</t>
        </is>
      </c>
      <c r="F5" s="31" t="inlineStr">
        <is>
          <t>生活費(子育て)</t>
        </is>
      </c>
      <c r="G5" s="31" t="inlineStr">
        <is>
          <t>生活費(独立後)</t>
        </is>
      </c>
      <c r="H5" s="31" t="inlineStr">
        <is>
          <t>教育費</t>
        </is>
      </c>
      <c r="I5" s="31" t="inlineStr">
        <is>
          <t>住居費</t>
        </is>
      </c>
      <c r="J5" s="31" t="inlineStr">
        <is>
          <t>葬儀・予備費</t>
        </is>
      </c>
      <c r="K5" s="31" t="inlineStr">
        <is>
          <t>支出計</t>
        </is>
      </c>
      <c r="L5" s="31" t="inlineStr">
        <is>
          <t>遺族基礎年金</t>
        </is>
      </c>
      <c r="M5" s="31" t="inlineStr">
        <is>
          <t>遺族厚生年金</t>
        </is>
      </c>
      <c r="N5" s="31" t="inlineStr">
        <is>
          <t>中高齢寡婦加算</t>
        </is>
      </c>
      <c r="O5" s="31" t="inlineStr">
        <is>
          <t>遺族の就労収入</t>
        </is>
      </c>
      <c r="P5" s="31" t="inlineStr">
        <is>
          <t>金融資産</t>
        </is>
      </c>
      <c r="Q5" s="31" t="inlineStr">
        <is>
          <t>収入計</t>
        </is>
      </c>
      <c r="R5" s="31" t="inlineStr">
        <is>
          <t>必要額</t>
        </is>
      </c>
      <c r="S5" s="31" t="inlineStr">
        <is>
          <t>提示下限</t>
        </is>
      </c>
      <c r="T5" s="31" t="inlineStr">
        <is>
          <t>提示上限</t>
        </is>
      </c>
      <c r="U5" s="31" t="inlineStr">
        <is>
          <t>判定</t>
        </is>
      </c>
      <c r="V5" s="31" t="inlineStr">
        <is>
          <t>現在の保障</t>
        </is>
      </c>
      <c r="W5" s="31" t="inlineStr">
        <is>
          <t>過不足</t>
        </is>
      </c>
    </row>
    <row r="6" ht="15" customHeight="1" s="27">
      <c r="A6" s="32" t="inlineStr">
        <is>
          <t>GT-01</t>
        </is>
      </c>
      <c r="B6" s="33" t="inlineStr">
        <is>
          <t>夫37(500万)/妻35(250万)/子2歳/持家・団信あり/貯蓄400万</t>
        </is>
      </c>
      <c r="C6" s="33" t="inlineStr">
        <is>
          <t>本人死亡</t>
        </is>
      </c>
      <c r="D6" s="34" t="n">
        <v>20</v>
      </c>
      <c r="E6" s="34" t="n">
        <v>10</v>
      </c>
      <c r="F6" s="34" t="n">
        <v>5040</v>
      </c>
      <c r="G6" s="34" t="n">
        <v>1800</v>
      </c>
      <c r="H6" s="34" t="n">
        <v>909</v>
      </c>
      <c r="I6" s="34" t="n">
        <v>0</v>
      </c>
      <c r="J6" s="34" t="n">
        <v>200</v>
      </c>
      <c r="K6" s="35">
        <f>SUM(F6:J6)</f>
        <v/>
      </c>
      <c r="L6" s="34" t="n">
        <v>1746</v>
      </c>
      <c r="M6" s="34" t="n">
        <v>1542</v>
      </c>
      <c r="N6" s="34" t="n">
        <v>890</v>
      </c>
      <c r="O6" s="34" t="n">
        <v>6000</v>
      </c>
      <c r="P6" s="34" t="n">
        <v>400</v>
      </c>
      <c r="Q6" s="35">
        <f>SUM(L6:P6)</f>
        <v/>
      </c>
      <c r="R6" s="35">
        <f>MAX(0,K6-Q6)</f>
        <v/>
      </c>
      <c r="S6" s="34" t="n">
        <v>200</v>
      </c>
      <c r="T6" s="34" t="n">
        <v>200</v>
      </c>
      <c r="U6" s="36" t="inlineStr">
        <is>
          <t>ample</t>
        </is>
      </c>
      <c r="V6" s="34" t="n">
        <v>2000</v>
      </c>
      <c r="W6" s="34">
        <f>IF(V6="","",V6-S6)</f>
        <v/>
      </c>
    </row>
    <row r="7" ht="15" customHeight="1" s="27">
      <c r="A7" s="32" t="inlineStr">
        <is>
          <t>GT-01</t>
        </is>
      </c>
      <c r="B7" s="33" t="inlineStr">
        <is>
          <t>夫37(500万)/妻35(250万)/子2歳/持家・団信あり/貯蓄400万</t>
        </is>
      </c>
      <c r="C7" s="33" t="inlineStr">
        <is>
          <t>配偶者死亡</t>
        </is>
      </c>
      <c r="D7" s="34" t="n">
        <v>20</v>
      </c>
      <c r="E7" s="34" t="n">
        <v>8</v>
      </c>
      <c r="F7" s="34" t="n">
        <v>5040</v>
      </c>
      <c r="G7" s="34" t="n">
        <v>1440</v>
      </c>
      <c r="H7" s="34" t="n">
        <v>909</v>
      </c>
      <c r="I7" s="34" t="n">
        <v>0</v>
      </c>
      <c r="J7" s="34" t="n">
        <v>200</v>
      </c>
      <c r="K7" s="35">
        <f>SUM(F7:J7)</f>
        <v/>
      </c>
      <c r="L7" s="34" t="n">
        <v>1746</v>
      </c>
      <c r="M7" s="34" t="n">
        <v>719</v>
      </c>
      <c r="N7" s="34" t="n">
        <v>763</v>
      </c>
      <c r="O7" s="34" t="n">
        <v>11200</v>
      </c>
      <c r="P7" s="34" t="n">
        <v>400</v>
      </c>
      <c r="Q7" s="35">
        <f>SUM(L7:P7)</f>
        <v/>
      </c>
      <c r="R7" s="35">
        <f>MAX(0,K7-Q7)</f>
        <v/>
      </c>
      <c r="S7" s="34" t="n">
        <v>200</v>
      </c>
      <c r="T7" s="34" t="n">
        <v>200</v>
      </c>
      <c r="U7" s="36" t="inlineStr">
        <is>
          <t>ample</t>
        </is>
      </c>
      <c r="V7" s="34" t="n">
        <v>0</v>
      </c>
      <c r="W7" s="34">
        <f>IF(V7="","",V7-S7)</f>
        <v/>
      </c>
    </row>
    <row r="8" ht="15" customHeight="1" s="27">
      <c r="A8" s="32" t="inlineStr">
        <is>
          <t>GT-02</t>
        </is>
      </c>
      <c r="B8" s="33" t="inlineStr">
        <is>
          <t>夫38(500万)/妻35 専業/子5歳・2歳/賃貸/貯蓄200万</t>
        </is>
      </c>
      <c r="C8" s="33" t="inlineStr">
        <is>
          <t>本人死亡</t>
        </is>
      </c>
      <c r="D8" s="34" t="n">
        <v>20</v>
      </c>
      <c r="E8" s="34" t="n">
        <v>10</v>
      </c>
      <c r="F8" s="34" t="n">
        <v>4704</v>
      </c>
      <c r="G8" s="34" t="n">
        <v>1680</v>
      </c>
      <c r="H8" s="34">
        <f>'教育費(段階別)'!D19</f>
        <v/>
      </c>
      <c r="I8" s="34" t="n">
        <v>0</v>
      </c>
      <c r="J8" s="34" t="n">
        <v>200</v>
      </c>
      <c r="K8" s="35">
        <f>SUM(F8:J8)</f>
        <v/>
      </c>
      <c r="L8" s="34" t="n">
        <v>2063</v>
      </c>
      <c r="M8" s="34" t="n">
        <v>1542</v>
      </c>
      <c r="N8" s="34" t="n">
        <v>890</v>
      </c>
      <c r="O8" s="34" t="n">
        <v>1000</v>
      </c>
      <c r="P8" s="34" t="n">
        <v>200</v>
      </c>
      <c r="Q8" s="35">
        <f>SUM(L8:P8)</f>
        <v/>
      </c>
      <c r="R8" s="35">
        <f>MAX(0,K8-Q8)</f>
        <v/>
      </c>
      <c r="S8" s="34">
        <f>ROUND(R8*0.8/100,0)*100</f>
        <v/>
      </c>
      <c r="T8" s="34">
        <f>ROUND(R8*1.2/100,0)*100</f>
        <v/>
      </c>
      <c r="U8" s="37" t="inlineStr">
        <is>
          <t>shortage</t>
        </is>
      </c>
      <c r="V8" s="34" t="n">
        <v>1000</v>
      </c>
      <c r="W8" s="34">
        <f>IF(V8="","",V8-S8)</f>
        <v/>
      </c>
    </row>
    <row r="9" ht="15" customHeight="1" s="27">
      <c r="A9" s="32" t="inlineStr">
        <is>
          <t>GT-02</t>
        </is>
      </c>
      <c r="B9" s="33" t="inlineStr">
        <is>
          <t>夫38(500万)/妻35 専業/子5歳・2歳/賃貸/貯蓄200万</t>
        </is>
      </c>
      <c r="C9" s="33" t="inlineStr">
        <is>
          <t>配偶者死亡</t>
        </is>
      </c>
      <c r="D9" s="34" t="n">
        <v>20</v>
      </c>
      <c r="E9" s="34" t="n">
        <v>7</v>
      </c>
      <c r="F9" s="34" t="n">
        <v>4704</v>
      </c>
      <c r="G9" s="34" t="n">
        <v>1176</v>
      </c>
      <c r="H9" s="34" t="n">
        <v>1682</v>
      </c>
      <c r="I9" s="34" t="n">
        <v>0</v>
      </c>
      <c r="J9" s="34" t="n">
        <v>200</v>
      </c>
      <c r="K9" s="35">
        <f>SUM(F9:J9)</f>
        <v/>
      </c>
      <c r="L9" s="34" t="n">
        <v>2063</v>
      </c>
      <c r="M9" s="34" t="n">
        <v>0</v>
      </c>
      <c r="N9" s="34" t="n">
        <v>0</v>
      </c>
      <c r="O9" s="34" t="n">
        <v>10800</v>
      </c>
      <c r="P9" s="34" t="n">
        <v>200</v>
      </c>
      <c r="Q9" s="35">
        <f>SUM(L9:P9)</f>
        <v/>
      </c>
      <c r="R9" s="35">
        <f>MAX(0,K9-Q9)</f>
        <v/>
      </c>
      <c r="S9" s="34" t="n">
        <v>200</v>
      </c>
      <c r="T9" s="34" t="n">
        <v>200</v>
      </c>
      <c r="U9" s="36" t="inlineStr">
        <is>
          <t>ample</t>
        </is>
      </c>
      <c r="V9" s="34" t="n">
        <v>0</v>
      </c>
      <c r="W9" s="34">
        <f>IF(V9="","",V9-S9)</f>
        <v/>
      </c>
    </row>
    <row r="10" ht="15" customHeight="1" s="27">
      <c r="A10" s="32" t="inlineStr">
        <is>
          <t>GT-03</t>
        </is>
      </c>
      <c r="B10" s="33" t="inlineStr">
        <is>
          <t>夫40(700万)/妻38(400万)/子10歳・7歳/持家・団信あり/貯蓄600万</t>
        </is>
      </c>
      <c r="C10" s="33" t="inlineStr">
        <is>
          <t>本人死亡</t>
        </is>
      </c>
      <c r="D10" s="34" t="n">
        <v>15</v>
      </c>
      <c r="E10" s="34" t="n">
        <v>12</v>
      </c>
      <c r="F10" s="34" t="n">
        <v>4410</v>
      </c>
      <c r="G10" s="34" t="n">
        <v>2520</v>
      </c>
      <c r="H10" s="34" t="n">
        <v>1227</v>
      </c>
      <c r="I10" s="34" t="n">
        <v>0</v>
      </c>
      <c r="J10" s="34" t="n">
        <v>200</v>
      </c>
      <c r="K10" s="35">
        <f>SUM(F10:J10)</f>
        <v/>
      </c>
      <c r="L10" s="34" t="n">
        <v>1396</v>
      </c>
      <c r="M10" s="34" t="n">
        <v>1942</v>
      </c>
      <c r="N10" s="34" t="n">
        <v>1017</v>
      </c>
      <c r="O10" s="34" t="n">
        <v>8640</v>
      </c>
      <c r="P10" s="34" t="n">
        <v>600</v>
      </c>
      <c r="Q10" s="35">
        <f>SUM(L10:P10)</f>
        <v/>
      </c>
      <c r="R10" s="35">
        <f>MAX(0,K10-Q10)</f>
        <v/>
      </c>
      <c r="S10" s="34" t="n">
        <v>200</v>
      </c>
      <c r="T10" s="34" t="n">
        <v>200</v>
      </c>
      <c r="U10" s="36" t="inlineStr">
        <is>
          <t>ample</t>
        </is>
      </c>
      <c r="V10" s="34" t="n">
        <v>1500</v>
      </c>
      <c r="W10" s="34">
        <f>IF(V10="","",V10-S10)</f>
        <v/>
      </c>
    </row>
    <row r="11" ht="15" customHeight="1" s="27">
      <c r="A11" s="32" t="inlineStr">
        <is>
          <t>GT-03</t>
        </is>
      </c>
      <c r="B11" s="33" t="inlineStr">
        <is>
          <t>夫40(700万)/妻38(400万)/子10歳・7歳/持家・団信あり/貯蓄600万</t>
        </is>
      </c>
      <c r="C11" s="33" t="inlineStr">
        <is>
          <t>配偶者死亡</t>
        </is>
      </c>
      <c r="D11" s="34" t="n">
        <v>15</v>
      </c>
      <c r="E11" s="34" t="n">
        <v>10</v>
      </c>
      <c r="F11" s="34" t="n">
        <v>4410</v>
      </c>
      <c r="G11" s="34" t="n">
        <v>2100</v>
      </c>
      <c r="H11" s="34" t="n">
        <v>1227</v>
      </c>
      <c r="I11" s="34" t="n">
        <v>0</v>
      </c>
      <c r="J11" s="34" t="n">
        <v>200</v>
      </c>
      <c r="K11" s="35">
        <f>SUM(F11:J11)</f>
        <v/>
      </c>
      <c r="L11" s="34" t="n">
        <v>1396</v>
      </c>
      <c r="M11" s="34" t="n">
        <v>1028</v>
      </c>
      <c r="N11" s="34" t="n">
        <v>890</v>
      </c>
      <c r="O11" s="34" t="n">
        <v>14000</v>
      </c>
      <c r="P11" s="34" t="n">
        <v>600</v>
      </c>
      <c r="Q11" s="35">
        <f>SUM(L11:P11)</f>
        <v/>
      </c>
      <c r="R11" s="35">
        <f>MAX(0,K11-Q11)</f>
        <v/>
      </c>
      <c r="S11" s="34" t="n">
        <v>200</v>
      </c>
      <c r="T11" s="34" t="n">
        <v>200</v>
      </c>
      <c r="U11" s="36" t="inlineStr">
        <is>
          <t>ample</t>
        </is>
      </c>
      <c r="V11" s="34" t="n">
        <v>500</v>
      </c>
      <c r="W11" s="34">
        <f>IF(V11="","",V11-S11)</f>
        <v/>
      </c>
    </row>
    <row r="12" ht="15" customHeight="1" s="27">
      <c r="A12" s="32" t="inlineStr">
        <is>
          <t>GT-04</t>
        </is>
      </c>
      <c r="B12" s="33" t="inlineStr">
        <is>
          <t>夫32(450万)/妻30(400万)/子なし/賃貸/貯蓄300万</t>
        </is>
      </c>
      <c r="C12" s="33" t="inlineStr">
        <is>
          <t>本人死亡</t>
        </is>
      </c>
      <c r="D12" s="34" t="n">
        <v>0</v>
      </c>
      <c r="E12" s="34" t="n">
        <v>35</v>
      </c>
      <c r="F12" s="34" t="n">
        <v>0</v>
      </c>
      <c r="G12" s="34" t="n">
        <v>5250</v>
      </c>
      <c r="H12" s="34" t="n">
        <v>0</v>
      </c>
      <c r="I12" s="34" t="n">
        <v>0</v>
      </c>
      <c r="J12" s="34" t="n">
        <v>200</v>
      </c>
      <c r="K12" s="35">
        <f>SUM(F12:J12)</f>
        <v/>
      </c>
      <c r="L12" s="34" t="n">
        <v>0</v>
      </c>
      <c r="M12" s="34" t="n">
        <v>1619</v>
      </c>
      <c r="N12" s="34" t="n">
        <v>0</v>
      </c>
      <c r="O12" s="34" t="n">
        <v>11200</v>
      </c>
      <c r="P12" s="34" t="n">
        <v>300</v>
      </c>
      <c r="Q12" s="35">
        <f>SUM(L12:P12)</f>
        <v/>
      </c>
      <c r="R12" s="35">
        <f>MAX(0,K12-Q12)</f>
        <v/>
      </c>
      <c r="S12" s="34" t="n">
        <v>200</v>
      </c>
      <c r="T12" s="34" t="n">
        <v>200</v>
      </c>
      <c r="U12" s="36" t="inlineStr">
        <is>
          <t>ample</t>
        </is>
      </c>
      <c r="V12" s="34" t="n">
        <v>1000</v>
      </c>
      <c r="W12" s="34">
        <f>IF(V12="","",V12-S12)</f>
        <v/>
      </c>
    </row>
    <row r="13" ht="15" customHeight="1" s="27">
      <c r="A13" s="32" t="inlineStr">
        <is>
          <t>GT-04</t>
        </is>
      </c>
      <c r="B13" s="33" t="inlineStr">
        <is>
          <t>夫32(450万)/妻30(400万)/子なし/賃貸/貯蓄300万</t>
        </is>
      </c>
      <c r="C13" s="33" t="inlineStr">
        <is>
          <t>配偶者死亡</t>
        </is>
      </c>
      <c r="D13" s="34" t="n">
        <v>0</v>
      </c>
      <c r="E13" s="34" t="n">
        <v>33</v>
      </c>
      <c r="F13" s="34" t="n">
        <v>0</v>
      </c>
      <c r="G13" s="34" t="n">
        <v>4950</v>
      </c>
      <c r="H13" s="34" t="n">
        <v>0</v>
      </c>
      <c r="I13" s="34" t="n">
        <v>0</v>
      </c>
      <c r="J13" s="34" t="n">
        <v>200</v>
      </c>
      <c r="K13" s="35">
        <f>SUM(F13:J13)</f>
        <v/>
      </c>
      <c r="L13" s="34" t="n">
        <v>0</v>
      </c>
      <c r="M13" s="34" t="n">
        <v>1357</v>
      </c>
      <c r="N13" s="34" t="n">
        <v>0</v>
      </c>
      <c r="O13" s="34" t="n">
        <v>11880</v>
      </c>
      <c r="P13" s="34" t="n">
        <v>300</v>
      </c>
      <c r="Q13" s="35">
        <f>SUM(L13:P13)</f>
        <v/>
      </c>
      <c r="R13" s="35">
        <f>MAX(0,K13-Q13)</f>
        <v/>
      </c>
      <c r="S13" s="34" t="n">
        <v>200</v>
      </c>
      <c r="T13" s="34" t="n">
        <v>200</v>
      </c>
      <c r="U13" s="36" t="inlineStr">
        <is>
          <t>ample</t>
        </is>
      </c>
      <c r="V13" s="34" t="n">
        <v>1000</v>
      </c>
      <c r="W13" s="34">
        <f>IF(V13="","",V13-S13)</f>
        <v/>
      </c>
    </row>
    <row r="14" ht="15" customHeight="1" s="27">
      <c r="A14" s="32" t="inlineStr">
        <is>
          <t>GT-05</t>
        </is>
      </c>
      <c r="B14" s="33" t="inlineStr">
        <is>
          <t>独身35(500万)/貯蓄300万</t>
        </is>
      </c>
      <c r="C14" s="33" t="inlineStr">
        <is>
          <t>本人死亡</t>
        </is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200</v>
      </c>
      <c r="K14" s="35">
        <f>SUM(F14:J14)</f>
        <v/>
      </c>
      <c r="L14" s="34" t="n">
        <v>0</v>
      </c>
      <c r="M14" s="34" t="n">
        <v>0</v>
      </c>
      <c r="N14" s="34" t="n">
        <v>0</v>
      </c>
      <c r="O14" s="34" t="n">
        <v>0</v>
      </c>
      <c r="P14" s="34" t="n">
        <v>300</v>
      </c>
      <c r="Q14" s="35">
        <f>SUM(L14:P14)</f>
        <v/>
      </c>
      <c r="R14" s="35">
        <f>MAX(0,K14-Q14)</f>
        <v/>
      </c>
      <c r="S14" s="34" t="n">
        <v>200</v>
      </c>
      <c r="T14" s="34" t="n">
        <v>200</v>
      </c>
      <c r="U14" s="36" t="inlineStr">
        <is>
          <t>not_needed</t>
        </is>
      </c>
      <c r="V14" s="34" t="n">
        <v>1000</v>
      </c>
      <c r="W14" s="34">
        <f>IF(V14="","",V14-S14)</f>
        <v/>
      </c>
    </row>
    <row r="15" ht="15" customHeight="1" s="27">
      <c r="A15" s="32" t="inlineStr">
        <is>
          <t>GT-06</t>
        </is>
      </c>
      <c r="B15" s="33" t="inlineStr">
        <is>
          <t>自営45(600万)/妻43 専業/子12歳/持家・団信あり/貯蓄500万</t>
        </is>
      </c>
      <c r="C15" s="33" t="inlineStr">
        <is>
          <t>本人死亡</t>
        </is>
      </c>
      <c r="D15" s="34" t="n">
        <v>10</v>
      </c>
      <c r="E15" s="34" t="n">
        <v>12</v>
      </c>
      <c r="F15" s="34" t="n">
        <v>2520</v>
      </c>
      <c r="G15" s="34" t="n">
        <v>2160</v>
      </c>
      <c r="H15" s="34">
        <f>'教育費(段階別)'!D20</f>
        <v/>
      </c>
      <c r="I15" s="34" t="n">
        <v>0</v>
      </c>
      <c r="J15" s="34" t="n">
        <v>200</v>
      </c>
      <c r="K15" s="35">
        <f>SUM(F15:J15)</f>
        <v/>
      </c>
      <c r="L15" s="34" t="n">
        <v>655</v>
      </c>
      <c r="M15" s="34" t="n">
        <v>0</v>
      </c>
      <c r="N15" s="34" t="n">
        <v>0</v>
      </c>
      <c r="O15" s="34" t="n">
        <v>1200</v>
      </c>
      <c r="P15" s="34" t="n">
        <v>500</v>
      </c>
      <c r="Q15" s="35">
        <f>SUM(L15:P15)</f>
        <v/>
      </c>
      <c r="R15" s="35">
        <f>MAX(0,K15-Q15)</f>
        <v/>
      </c>
      <c r="S15" s="34">
        <f>ROUND(R15*0.8/100,0)*100</f>
        <v/>
      </c>
      <c r="T15" s="34">
        <f>ROUND(R15*1.2/100,0)*100</f>
        <v/>
      </c>
      <c r="U15" s="37" t="inlineStr">
        <is>
          <t>shortage</t>
        </is>
      </c>
      <c r="V15" s="34" t="n">
        <v>1000</v>
      </c>
      <c r="W15" s="34">
        <f>IF(V15="","",V15-S15)</f>
        <v/>
      </c>
    </row>
    <row r="16" ht="15" customHeight="1" s="27">
      <c r="A16" s="32" t="inlineStr">
        <is>
          <t>GT-06</t>
        </is>
      </c>
      <c r="B16" s="33" t="inlineStr">
        <is>
          <t>自営45(600万)/妻43 専業/子12歳/持家・団信あり/貯蓄500万</t>
        </is>
      </c>
      <c r="C16" s="33" t="inlineStr">
        <is>
          <t>配偶者死亡</t>
        </is>
      </c>
      <c r="D16" s="34" t="n">
        <v>10</v>
      </c>
      <c r="E16" s="34" t="n">
        <v>10</v>
      </c>
      <c r="F16" s="34" t="n">
        <v>2520</v>
      </c>
      <c r="G16" s="34" t="n">
        <v>1800</v>
      </c>
      <c r="H16" s="34" t="n">
        <v>455</v>
      </c>
      <c r="I16" s="34" t="n">
        <v>0</v>
      </c>
      <c r="J16" s="34" t="n">
        <v>200</v>
      </c>
      <c r="K16" s="35">
        <f>SUM(F16:J16)</f>
        <v/>
      </c>
      <c r="L16" s="34" t="n">
        <v>655</v>
      </c>
      <c r="M16" s="34" t="n">
        <v>0</v>
      </c>
      <c r="N16" s="34" t="n">
        <v>0</v>
      </c>
      <c r="O16" s="34" t="n">
        <v>9600</v>
      </c>
      <c r="P16" s="34" t="n">
        <v>500</v>
      </c>
      <c r="Q16" s="35">
        <f>SUM(L16:P16)</f>
        <v/>
      </c>
      <c r="R16" s="35">
        <f>MAX(0,K16-Q16)</f>
        <v/>
      </c>
      <c r="S16" s="34" t="n">
        <v>200</v>
      </c>
      <c r="T16" s="34" t="n">
        <v>200</v>
      </c>
      <c r="U16" s="36" t="inlineStr">
        <is>
          <t>ample</t>
        </is>
      </c>
      <c r="V16" s="34" t="n">
        <v>0</v>
      </c>
      <c r="W16" s="34">
        <f>IF(V16="","",V16-S16)</f>
        <v/>
      </c>
    </row>
    <row r="17" ht="15" customHeight="1" s="27">
      <c r="A17" s="32" t="inlineStr">
        <is>
          <t>GT-07</t>
        </is>
      </c>
      <c r="B17" s="33" t="inlineStr">
        <is>
          <t>夫45(800万)/妻43(300万)/子15歳・12歳/持家ローン1500万・団信なし/貯蓄800万</t>
        </is>
      </c>
      <c r="C17" s="33" t="inlineStr">
        <is>
          <t>本人死亡</t>
        </is>
      </c>
      <c r="D17" s="34" t="n">
        <v>10</v>
      </c>
      <c r="E17" s="34" t="n">
        <v>12</v>
      </c>
      <c r="F17" s="34" t="n">
        <v>3192</v>
      </c>
      <c r="G17" s="34" t="n">
        <v>2736</v>
      </c>
      <c r="H17" s="34" t="n">
        <v>773</v>
      </c>
      <c r="I17" s="34" t="n">
        <v>1500</v>
      </c>
      <c r="J17" s="34" t="n">
        <v>200</v>
      </c>
      <c r="K17" s="35">
        <f>SUM(F17:J17)</f>
        <v/>
      </c>
      <c r="L17" s="34" t="n">
        <v>728</v>
      </c>
      <c r="M17" s="34" t="n">
        <v>1809</v>
      </c>
      <c r="N17" s="34" t="n">
        <v>1017</v>
      </c>
      <c r="O17" s="34" t="n">
        <v>5280</v>
      </c>
      <c r="P17" s="34" t="n">
        <v>800</v>
      </c>
      <c r="Q17" s="35">
        <f>SUM(L17:P17)</f>
        <v/>
      </c>
      <c r="R17" s="35">
        <f>MAX(0,K17-Q17)</f>
        <v/>
      </c>
      <c r="S17" s="34" t="n">
        <v>500</v>
      </c>
      <c r="T17" s="34" t="n">
        <v>800</v>
      </c>
      <c r="U17" s="36" t="inlineStr">
        <is>
          <t>sufficient</t>
        </is>
      </c>
      <c r="V17" s="34" t="n">
        <v>2000</v>
      </c>
      <c r="W17" s="34">
        <f>IF(V17="","",V17-S17)</f>
        <v/>
      </c>
    </row>
    <row r="18" ht="15" customHeight="1" s="27">
      <c r="A18" s="32" t="inlineStr">
        <is>
          <t>GT-07</t>
        </is>
      </c>
      <c r="B18" s="33" t="inlineStr">
        <is>
          <t>夫45(800万)/妻43(300万)/子15歳・12歳/持家ローン1500万・団信なし/貯蓄800万</t>
        </is>
      </c>
      <c r="C18" s="33" t="inlineStr">
        <is>
          <t>配偶者死亡</t>
        </is>
      </c>
      <c r="D18" s="34" t="n">
        <v>10</v>
      </c>
      <c r="E18" s="34" t="n">
        <v>10</v>
      </c>
      <c r="F18" s="34" t="n">
        <v>3192</v>
      </c>
      <c r="G18" s="34" t="n">
        <v>2280</v>
      </c>
      <c r="H18" s="34" t="n">
        <v>773</v>
      </c>
      <c r="I18" s="34" t="n">
        <v>1500</v>
      </c>
      <c r="J18" s="34" t="n">
        <v>200</v>
      </c>
      <c r="K18" s="35">
        <f>SUM(F18:J18)</f>
        <v/>
      </c>
      <c r="L18" s="34" t="n">
        <v>728</v>
      </c>
      <c r="M18" s="34" t="n">
        <v>617</v>
      </c>
      <c r="N18" s="34" t="n">
        <v>890</v>
      </c>
      <c r="O18" s="34" t="n">
        <v>12800</v>
      </c>
      <c r="P18" s="34" t="n">
        <v>800</v>
      </c>
      <c r="Q18" s="35">
        <f>SUM(L18:P18)</f>
        <v/>
      </c>
      <c r="R18" s="35">
        <f>MAX(0,K18-Q18)</f>
        <v/>
      </c>
      <c r="S18" s="34" t="n">
        <v>200</v>
      </c>
      <c r="T18" s="34" t="n">
        <v>200</v>
      </c>
      <c r="U18" s="36" t="inlineStr">
        <is>
          <t>ample</t>
        </is>
      </c>
      <c r="V18" s="34" t="n">
        <v>500</v>
      </c>
      <c r="W18" s="34">
        <f>IF(V18="","",V18-S18)</f>
        <v/>
      </c>
    </row>
    <row r="19" ht="15" customHeight="1" s="27">
      <c r="A19" s="32" t="inlineStr">
        <is>
          <t>GT-08</t>
        </is>
      </c>
      <c r="B19" s="33" t="inlineStr">
        <is>
          <t>夫35(400万)/妻33 パート100万/子3歳/賃貸/貯蓄100万</t>
        </is>
      </c>
      <c r="C19" s="33" t="inlineStr">
        <is>
          <t>本人死亡</t>
        </is>
      </c>
      <c r="D19" s="34" t="n">
        <v>19</v>
      </c>
      <c r="E19" s="34" t="n">
        <v>13</v>
      </c>
      <c r="F19" s="34" t="n">
        <v>3830</v>
      </c>
      <c r="G19" s="34" t="n">
        <v>1872</v>
      </c>
      <c r="H19" s="34" t="n">
        <v>864</v>
      </c>
      <c r="I19" s="34" t="n">
        <v>0</v>
      </c>
      <c r="J19" s="34" t="n">
        <v>200</v>
      </c>
      <c r="K19" s="35">
        <f>SUM(F19:J19)</f>
        <v/>
      </c>
      <c r="L19" s="34" t="n">
        <v>1637</v>
      </c>
      <c r="M19" s="34" t="n">
        <v>1315</v>
      </c>
      <c r="N19" s="34" t="n">
        <v>1081</v>
      </c>
      <c r="O19" s="34" t="n">
        <v>2820</v>
      </c>
      <c r="P19" s="34" t="n">
        <v>100</v>
      </c>
      <c r="Q19" s="35">
        <f>SUM(L19:P19)</f>
        <v/>
      </c>
      <c r="R19" s="35">
        <f>MAX(0,K19-Q19)</f>
        <v/>
      </c>
      <c r="S19" s="34" t="n">
        <v>400</v>
      </c>
      <c r="T19" s="34" t="n">
        <v>600</v>
      </c>
      <c r="U19" s="36" t="inlineStr">
        <is>
          <t>sufficient</t>
        </is>
      </c>
      <c r="V19" s="34" t="n">
        <v>500</v>
      </c>
      <c r="W19" s="34">
        <f>IF(V19="","",V19-S19)</f>
        <v/>
      </c>
    </row>
    <row r="20" ht="15" customHeight="1" s="27">
      <c r="A20" s="32" t="inlineStr">
        <is>
          <t>GT-08</t>
        </is>
      </c>
      <c r="B20" s="33" t="inlineStr">
        <is>
          <t>夫35(400万)/妻33 パート100万/子3歳/賃貸/貯蓄100万</t>
        </is>
      </c>
      <c r="C20" s="33" t="inlineStr">
        <is>
          <t>配偶者死亡</t>
        </is>
      </c>
      <c r="D20" s="34" t="n">
        <v>19</v>
      </c>
      <c r="E20" s="34" t="n">
        <v>11</v>
      </c>
      <c r="F20" s="34" t="n">
        <v>3830</v>
      </c>
      <c r="G20" s="34" t="n">
        <v>1584</v>
      </c>
      <c r="H20" s="34" t="n">
        <v>864</v>
      </c>
      <c r="I20" s="34" t="n">
        <v>0</v>
      </c>
      <c r="J20" s="34" t="n">
        <v>200</v>
      </c>
      <c r="K20" s="35">
        <f>SUM(F20:J20)</f>
        <v/>
      </c>
      <c r="L20" s="34" t="n">
        <v>1637</v>
      </c>
      <c r="M20" s="34" t="n">
        <v>308</v>
      </c>
      <c r="N20" s="34" t="n">
        <v>954</v>
      </c>
      <c r="O20" s="34" t="n">
        <v>9600</v>
      </c>
      <c r="P20" s="34" t="n">
        <v>100</v>
      </c>
      <c r="Q20" s="35">
        <f>SUM(L20:P20)</f>
        <v/>
      </c>
      <c r="R20" s="35">
        <f>MAX(0,K20-Q20)</f>
        <v/>
      </c>
      <c r="S20" s="34" t="n">
        <v>200</v>
      </c>
      <c r="T20" s="34" t="n">
        <v>200</v>
      </c>
      <c r="U20" s="36" t="inlineStr">
        <is>
          <t>ample</t>
        </is>
      </c>
      <c r="V20" s="34" t="n">
        <v>0</v>
      </c>
      <c r="W20" s="34">
        <f>IF(V20="","",V20-S20)</f>
        <v/>
      </c>
    </row>
    <row r="21" ht="15" customHeight="1" s="27">
      <c r="A21" s="32" t="inlineStr">
        <is>
          <t>GT-09</t>
        </is>
      </c>
      <c r="B21" s="33" t="inlineStr">
        <is>
          <t>夫50(1200万)/妻48(600万)/子20歳/持家ローンなし/貯蓄2000万</t>
        </is>
      </c>
      <c r="C21" s="33" t="inlineStr">
        <is>
          <t>本人死亡</t>
        </is>
      </c>
      <c r="D21" s="34" t="n">
        <v>2</v>
      </c>
      <c r="E21" s="34" t="n">
        <v>15</v>
      </c>
      <c r="F21" s="34" t="n">
        <v>672</v>
      </c>
      <c r="G21" s="34" t="n">
        <v>3600</v>
      </c>
      <c r="H21" s="34" t="n">
        <v>182</v>
      </c>
      <c r="I21" s="34" t="n">
        <v>0</v>
      </c>
      <c r="J21" s="34" t="n">
        <v>200</v>
      </c>
      <c r="K21" s="35">
        <f>SUM(F21:J21)</f>
        <v/>
      </c>
      <c r="L21" s="34" t="n">
        <v>0</v>
      </c>
      <c r="M21" s="34" t="n">
        <v>2096</v>
      </c>
      <c r="N21" s="34" t="n">
        <v>1081</v>
      </c>
      <c r="O21" s="34" t="n">
        <v>8160</v>
      </c>
      <c r="P21" s="34" t="n">
        <v>2000</v>
      </c>
      <c r="Q21" s="35">
        <f>SUM(L21:P21)</f>
        <v/>
      </c>
      <c r="R21" s="35">
        <f>MAX(0,K21-Q21)</f>
        <v/>
      </c>
      <c r="S21" s="34" t="n">
        <v>200</v>
      </c>
      <c r="T21" s="34" t="n">
        <v>200</v>
      </c>
      <c r="U21" s="36" t="inlineStr">
        <is>
          <t>ample</t>
        </is>
      </c>
      <c r="V21" s="34" t="n">
        <v>3000</v>
      </c>
      <c r="W21" s="34">
        <f>IF(V21="","",V21-S21)</f>
        <v/>
      </c>
    </row>
    <row r="22" ht="15" customHeight="1" s="27">
      <c r="A22" s="32" t="inlineStr">
        <is>
          <t>GT-09</t>
        </is>
      </c>
      <c r="B22" s="33" t="inlineStr">
        <is>
          <t>夫50(1200万)/妻48(600万)/子20歳/持家ローンなし/貯蓄2000万</t>
        </is>
      </c>
      <c r="C22" s="33" t="inlineStr">
        <is>
          <t>配偶者死亡</t>
        </is>
      </c>
      <c r="D22" s="34" t="n">
        <v>2</v>
      </c>
      <c r="E22" s="34" t="n">
        <v>13</v>
      </c>
      <c r="F22" s="34" t="n">
        <v>672</v>
      </c>
      <c r="G22" s="34" t="n">
        <v>3120</v>
      </c>
      <c r="H22" s="34" t="n">
        <v>182</v>
      </c>
      <c r="I22" s="34" t="n">
        <v>0</v>
      </c>
      <c r="J22" s="34" t="n">
        <v>200</v>
      </c>
      <c r="K22" s="35">
        <f>SUM(F22:J22)</f>
        <v/>
      </c>
      <c r="L22" s="34" t="n">
        <v>0</v>
      </c>
      <c r="M22" s="34" t="n">
        <v>925</v>
      </c>
      <c r="N22" s="34" t="n">
        <v>954</v>
      </c>
      <c r="O22" s="34" t="n">
        <v>14400</v>
      </c>
      <c r="P22" s="34" t="n">
        <v>2000</v>
      </c>
      <c r="Q22" s="35">
        <f>SUM(L22:P22)</f>
        <v/>
      </c>
      <c r="R22" s="35">
        <f>MAX(0,K22-Q22)</f>
        <v/>
      </c>
      <c r="S22" s="34" t="n">
        <v>200</v>
      </c>
      <c r="T22" s="34" t="n">
        <v>200</v>
      </c>
      <c r="U22" s="36" t="inlineStr">
        <is>
          <t>ample</t>
        </is>
      </c>
      <c r="V22" s="34" t="n">
        <v>1000</v>
      </c>
      <c r="W22" s="34">
        <f>IF(V22="","",V22-S22)</f>
        <v/>
      </c>
    </row>
    <row r="23" ht="15" customHeight="1" s="27">
      <c r="A23" s="32" t="inlineStr">
        <is>
          <t>GT-10</t>
        </is>
      </c>
      <c r="B23" s="33" t="inlineStr">
        <is>
          <t>夫38(300万)/妻36(700万)/子6歳/持家・団信あり(妻名義)/貯蓄400万</t>
        </is>
      </c>
      <c r="C23" s="33" t="inlineStr">
        <is>
          <t>本人死亡</t>
        </is>
      </c>
      <c r="D23" s="34" t="n">
        <v>16</v>
      </c>
      <c r="E23" s="34" t="n">
        <v>13</v>
      </c>
      <c r="F23" s="34" t="n">
        <v>4301</v>
      </c>
      <c r="G23" s="34" t="n">
        <v>2496</v>
      </c>
      <c r="H23" s="34" t="n">
        <v>727</v>
      </c>
      <c r="I23" s="34" t="n">
        <v>0</v>
      </c>
      <c r="J23" s="34" t="n">
        <v>200</v>
      </c>
      <c r="K23" s="35">
        <f>SUM(F23:J23)</f>
        <v/>
      </c>
      <c r="L23" s="34" t="n">
        <v>1310</v>
      </c>
      <c r="M23" s="34" t="n">
        <v>894</v>
      </c>
      <c r="N23" s="34" t="n">
        <v>1081</v>
      </c>
      <c r="O23" s="34" t="n">
        <v>16240</v>
      </c>
      <c r="P23" s="34" t="n">
        <v>400</v>
      </c>
      <c r="Q23" s="35">
        <f>SUM(L23:P23)</f>
        <v/>
      </c>
      <c r="R23" s="35">
        <f>MAX(0,K23-Q23)</f>
        <v/>
      </c>
      <c r="S23" s="34" t="n">
        <v>200</v>
      </c>
      <c r="T23" s="34" t="n">
        <v>200</v>
      </c>
      <c r="U23" s="36" t="inlineStr">
        <is>
          <t>ample</t>
        </is>
      </c>
      <c r="V23" s="34" t="n">
        <v>1000</v>
      </c>
      <c r="W23" s="34">
        <f>IF(V23="","",V23-S23)</f>
        <v/>
      </c>
    </row>
    <row r="24" ht="15" customHeight="1" s="27">
      <c r="A24" s="32" t="inlineStr">
        <is>
          <t>GT-10</t>
        </is>
      </c>
      <c r="B24" s="33" t="inlineStr">
        <is>
          <t>夫38(300万)/妻36(700万)/子6歳/持家・団信あり(妻名義)/貯蓄400万</t>
        </is>
      </c>
      <c r="C24" s="33" t="inlineStr">
        <is>
          <t>配偶者死亡</t>
        </is>
      </c>
      <c r="D24" s="34" t="n">
        <v>16</v>
      </c>
      <c r="E24" s="34" t="n">
        <v>11</v>
      </c>
      <c r="F24" s="34" t="n">
        <v>4301</v>
      </c>
      <c r="G24" s="34" t="n">
        <v>2112</v>
      </c>
      <c r="H24" s="34" t="n">
        <v>727</v>
      </c>
      <c r="I24" s="34" t="n">
        <v>0</v>
      </c>
      <c r="J24" s="34" t="n">
        <v>200</v>
      </c>
      <c r="K24" s="35">
        <f>SUM(F24:J24)</f>
        <v/>
      </c>
      <c r="L24" s="34" t="n">
        <v>1310</v>
      </c>
      <c r="M24" s="34" t="n">
        <v>1942</v>
      </c>
      <c r="N24" s="34" t="n">
        <v>954</v>
      </c>
      <c r="O24" s="34" t="n">
        <v>6480</v>
      </c>
      <c r="P24" s="34" t="n">
        <v>400</v>
      </c>
      <c r="Q24" s="35">
        <f>SUM(L24:P24)</f>
        <v/>
      </c>
      <c r="R24" s="35">
        <f>MAX(0,K24-Q24)</f>
        <v/>
      </c>
      <c r="S24" s="34" t="n">
        <v>200</v>
      </c>
      <c r="T24" s="34" t="n">
        <v>200</v>
      </c>
      <c r="U24" s="36" t="inlineStr">
        <is>
          <t>ample</t>
        </is>
      </c>
      <c r="V24" s="34" t="n">
        <v>500</v>
      </c>
      <c r="W24" s="34">
        <f>IF(V24="","",V24-S24)</f>
        <v/>
      </c>
    </row>
    <row r="26" ht="15" customHeight="1" s="27">
      <c r="A26" s="38" t="inlineStr">
        <is>
          <t>【前提】</t>
        </is>
      </c>
    </row>
    <row r="27" ht="15" customHeight="1" s="27">
      <c r="A27" s="39" t="inlineStr">
        <is>
          <t>・算定期間は「遺された配偶者が65歳になるまで」。子育て期は生活費率70%、末子独立後は50%（いずれも当社基準）。</t>
        </is>
      </c>
    </row>
    <row r="28" ht="15" customHeight="1" s="27">
      <c r="A28" s="39" t="inlineStr">
        <is>
          <t>・遺族の就労収入は、子育て期＝現在の手取り（年収×80%）、末子独立後＝現在の手取りとパート相当100万円の大きい方で連続推定（grill Q3-b：分岐の崖をなくす）。</t>
        </is>
      </c>
    </row>
    <row r="29" ht="15" customHeight="1" s="27">
      <c r="A29" s="39" t="inlineStr">
        <is>
          <t>・団信ありの住宅ローンは住居費0。賃貸の家賃は生活費に含む。</t>
        </is>
      </c>
    </row>
    <row r="30" ht="15" customHeight="1" s="27">
      <c r="A30" s="39" t="inlineStr">
        <is>
          <t>・遺族厚生年金は報酬比例部分（平均標準報酬額×5.481/1000×みなし300月）の3/4。自営は0。</t>
        </is>
      </c>
    </row>
    <row r="31" ht="15" customHeight="1" s="27">
      <c r="A31" s="39" t="inlineStr">
        <is>
          <t>・遺族厚生年金は現行制度で計算（子のない配偶者で5年の有期になるのは死亡時30歳未満のみ。2028年4月改正は未反映）。中高齢寡婦加算は遺族厚生年金への上乗せなので、亡くなった人に遺族厚生年金が無い（自営・無収入）ときは0。子なしは死亡時40歳以上が要件。</t>
        </is>
      </c>
    </row>
    <row r="32" ht="15" customHeight="1" s="27">
      <c r="A32" s="39" t="inlineStr">
        <is>
          <t>・年金額は令和8年度の報道値ベース（verified:false）。日本年金機構の一次情報で要確認。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44" customWidth="1" style="26" min="2" max="2"/>
    <col width="10" customWidth="1" style="26" min="3" max="3"/>
    <col width="18" customWidth="1" style="26" min="4" max="4"/>
    <col width="16" customWidth="1" style="26" min="5" max="5"/>
    <col width="20" customWidth="1" style="26" min="6" max="7"/>
    <col width="11" customWidth="1" style="26" min="8" max="8"/>
    <col width="10" customWidth="1" style="26" min="9" max="9"/>
    <col width="14" customWidth="1" style="26" min="10" max="10"/>
  </cols>
  <sheetData>
    <row r="1" ht="21.6" customHeight="1" s="27">
      <c r="A1" s="28" t="inlineStr">
        <is>
          <t>医療保障の過不足判定（grill Q4：公的統計ベース＋当社基準の明示）</t>
        </is>
      </c>
    </row>
    <row r="2" ht="15" customHeight="1" s="27">
      <c r="A2" s="29" t="inlineStr">
        <is>
          <t>単位：万円。想定自己負担・判定は数式。</t>
        </is>
      </c>
    </row>
    <row r="4" ht="15" customHeight="1" s="27">
      <c r="A4" s="40" t="inlineStr">
        <is>
          <t>ID</t>
        </is>
      </c>
      <c r="B4" s="41" t="inlineStr">
        <is>
          <t>世帯</t>
        </is>
      </c>
      <c r="C4" s="41" t="inlineStr">
        <is>
          <t>所得区分</t>
        </is>
      </c>
      <c r="D4" s="41" t="inlineStr">
        <is>
          <t>月額自己負担上限(円)</t>
        </is>
      </c>
      <c r="E4" s="41" t="inlineStr">
        <is>
          <t>保険外費用(月/円)</t>
        </is>
      </c>
      <c r="F4" s="41" t="inlineStr">
        <is>
          <t>標準入院1ヶ月の自己負担</t>
        </is>
      </c>
      <c r="G4" s="41" t="inlineStr">
        <is>
          <t>長期化3ヶ月の自己負担</t>
        </is>
      </c>
      <c r="H4" s="41" t="inlineStr">
        <is>
          <t>金融資産</t>
        </is>
      </c>
      <c r="I4" s="41" t="inlineStr">
        <is>
          <t>資産倍率</t>
        </is>
      </c>
      <c r="J4" s="41" t="inlineStr">
        <is>
          <t>判定</t>
        </is>
      </c>
    </row>
    <row r="5" ht="15" customHeight="1" s="27">
      <c r="A5" s="32" t="inlineStr">
        <is>
          <t>GT-01</t>
        </is>
      </c>
      <c r="B5" s="33" t="inlineStr">
        <is>
          <t>夫37(500万)/妻35(250万)/子2歳/持家・団信あり/貯蓄400万</t>
        </is>
      </c>
      <c r="C5" s="33" t="inlineStr">
        <is>
          <t>区分ウ</t>
        </is>
      </c>
      <c r="D5" s="42" t="n">
        <v>92940</v>
      </c>
      <c r="E5" s="42" t="n">
        <v>100000</v>
      </c>
      <c r="F5" s="42">
        <f>ROUND((D5+E5)/10000,0)</f>
        <v/>
      </c>
      <c r="G5" s="42">
        <f>ROUND((D5+E5)*3/10000,0)</f>
        <v/>
      </c>
      <c r="H5" s="42" t="n">
        <v>400</v>
      </c>
      <c r="I5" s="43">
        <f>ROUND(H5/G5,1)</f>
        <v/>
      </c>
      <c r="J5" s="44">
        <f>IF(I5&gt;=$B$1000,"self_insurable",IF(I5&gt;=1,"partial","needed"))</f>
        <v/>
      </c>
    </row>
    <row r="6" ht="15" customHeight="1" s="27">
      <c r="A6" s="32" t="inlineStr">
        <is>
          <t>GT-02</t>
        </is>
      </c>
      <c r="B6" s="33" t="inlineStr">
        <is>
          <t>夫38(500万)/妻35 専業/子5歳・2歳/賃貸/貯蓄200万</t>
        </is>
      </c>
      <c r="C6" s="33" t="inlineStr">
        <is>
          <t>区分ウ</t>
        </is>
      </c>
      <c r="D6" s="42" t="n">
        <v>92940</v>
      </c>
      <c r="E6" s="42" t="n">
        <v>100000</v>
      </c>
      <c r="F6" s="42">
        <f>ROUND((D6+E6)/10000,0)</f>
        <v/>
      </c>
      <c r="G6" s="42">
        <f>ROUND((D6+E6)*3/10000,0)</f>
        <v/>
      </c>
      <c r="H6" s="42" t="n">
        <v>200</v>
      </c>
      <c r="I6" s="43">
        <f>ROUND(H6/G6,1)</f>
        <v/>
      </c>
      <c r="J6" s="44">
        <f>IF(I6&gt;=$B$1000,"self_insurable",IF(I6&gt;=1,"partial","needed"))</f>
        <v/>
      </c>
    </row>
    <row r="7" ht="15" customHeight="1" s="27">
      <c r="A7" s="32" t="inlineStr">
        <is>
          <t>GT-03</t>
        </is>
      </c>
      <c r="B7" s="33" t="inlineStr">
        <is>
          <t>夫40(700万)/妻38(400万)/子10歳・7歳/持家・団信あり/貯蓄600万</t>
        </is>
      </c>
      <c r="C7" s="33" t="inlineStr">
        <is>
          <t>区分ウ</t>
        </is>
      </c>
      <c r="D7" s="42" t="n">
        <v>92940</v>
      </c>
      <c r="E7" s="42" t="n">
        <v>100000</v>
      </c>
      <c r="F7" s="42">
        <f>ROUND((D7+E7)/10000,0)</f>
        <v/>
      </c>
      <c r="G7" s="42">
        <f>ROUND((D7+E7)*3/10000,0)</f>
        <v/>
      </c>
      <c r="H7" s="42" t="n">
        <v>600</v>
      </c>
      <c r="I7" s="43">
        <f>ROUND(H7/G7,1)</f>
        <v/>
      </c>
      <c r="J7" s="44">
        <f>IF(I7&gt;=$B$1000,"self_insurable",IF(I7&gt;=1,"partial","needed"))</f>
        <v/>
      </c>
    </row>
    <row r="8" ht="15" customHeight="1" s="27">
      <c r="A8" s="32" t="inlineStr">
        <is>
          <t>GT-04</t>
        </is>
      </c>
      <c r="B8" s="33" t="inlineStr">
        <is>
          <t>夫32(450万)/妻30(400万)/子なし/賃貸/貯蓄300万</t>
        </is>
      </c>
      <c r="C8" s="33" t="inlineStr">
        <is>
          <t>区分ウ</t>
        </is>
      </c>
      <c r="D8" s="42" t="n">
        <v>92940</v>
      </c>
      <c r="E8" s="42" t="n">
        <v>100000</v>
      </c>
      <c r="F8" s="42">
        <f>ROUND((D8+E8)/10000,0)</f>
        <v/>
      </c>
      <c r="G8" s="42">
        <f>ROUND((D8+E8)*3/10000,0)</f>
        <v/>
      </c>
      <c r="H8" s="42" t="n">
        <v>300</v>
      </c>
      <c r="I8" s="43">
        <f>ROUND(H8/G8,1)</f>
        <v/>
      </c>
      <c r="J8" s="44">
        <f>IF(I8&gt;=$B$1000,"self_insurable",IF(I8&gt;=1,"partial","needed"))</f>
        <v/>
      </c>
    </row>
    <row r="9" ht="15" customHeight="1" s="27">
      <c r="A9" s="32" t="inlineStr">
        <is>
          <t>GT-05</t>
        </is>
      </c>
      <c r="B9" s="33" t="inlineStr">
        <is>
          <t>独身35(500万)/貯蓄300万</t>
        </is>
      </c>
      <c r="C9" s="33" t="inlineStr">
        <is>
          <t>区分ウ</t>
        </is>
      </c>
      <c r="D9" s="42" t="n">
        <v>92940</v>
      </c>
      <c r="E9" s="42" t="n">
        <v>100000</v>
      </c>
      <c r="F9" s="42">
        <f>ROUND((D9+E9)/10000,0)</f>
        <v/>
      </c>
      <c r="G9" s="42">
        <f>ROUND((D9+E9)*3/10000,0)</f>
        <v/>
      </c>
      <c r="H9" s="42" t="n">
        <v>300</v>
      </c>
      <c r="I9" s="43">
        <f>ROUND(H9/G9,1)</f>
        <v/>
      </c>
      <c r="J9" s="44">
        <f>IF(I9&gt;=$B$1000,"self_insurable",IF(I9&gt;=1,"partial","needed"))</f>
        <v/>
      </c>
    </row>
    <row r="10" ht="15" customHeight="1" s="27">
      <c r="A10" s="32" t="inlineStr">
        <is>
          <t>GT-06</t>
        </is>
      </c>
      <c r="B10" s="33" t="inlineStr">
        <is>
          <t>自営45(600万)/妻43 専業/子12歳/持家・団信あり/貯蓄500万</t>
        </is>
      </c>
      <c r="C10" s="33" t="inlineStr">
        <is>
          <t>区分ウ</t>
        </is>
      </c>
      <c r="D10" s="42" t="n">
        <v>92940</v>
      </c>
      <c r="E10" s="42" t="n">
        <v>100000</v>
      </c>
      <c r="F10" s="42">
        <f>ROUND((D10+E10)/10000,0)</f>
        <v/>
      </c>
      <c r="G10" s="42">
        <f>ROUND((D10+E10)*3/10000,0)</f>
        <v/>
      </c>
      <c r="H10" s="42" t="n">
        <v>500</v>
      </c>
      <c r="I10" s="43">
        <f>ROUND(H10/G10,1)</f>
        <v/>
      </c>
      <c r="J10" s="44">
        <f>IF(I10&gt;=$B$1000,"self_insurable",IF(I10&gt;=1,"partial","needed"))</f>
        <v/>
      </c>
    </row>
    <row r="11" ht="15" customHeight="1" s="27">
      <c r="A11" s="32" t="inlineStr">
        <is>
          <t>GT-07</t>
        </is>
      </c>
      <c r="B11" s="33" t="inlineStr">
        <is>
          <t>夫45(800万)/妻43(300万)/子15歳・12歳/持家ローン1500万・団信なし/貯蓄800万</t>
        </is>
      </c>
      <c r="C11" s="33" t="inlineStr">
        <is>
          <t>区分イ</t>
        </is>
      </c>
      <c r="D11" s="42" t="n">
        <v>183130</v>
      </c>
      <c r="E11" s="42" t="n">
        <v>100000</v>
      </c>
      <c r="F11" s="42">
        <f>ROUND((D11+E11)/10000,0)</f>
        <v/>
      </c>
      <c r="G11" s="42">
        <f>ROUND((D11+E11)*3/10000,0)</f>
        <v/>
      </c>
      <c r="H11" s="42" t="n">
        <v>800</v>
      </c>
      <c r="I11" s="43">
        <f>ROUND(H11/G11,1)</f>
        <v/>
      </c>
      <c r="J11" s="44">
        <f>IF(I11&gt;=$B$1000,"self_insurable",IF(I11&gt;=1,"partial","needed"))</f>
        <v/>
      </c>
    </row>
    <row r="12" ht="15" customHeight="1" s="27">
      <c r="A12" s="32" t="inlineStr">
        <is>
          <t>GT-08</t>
        </is>
      </c>
      <c r="B12" s="33" t="inlineStr">
        <is>
          <t>夫35(400万)/妻33 パート100万/子3歳/賃貸/貯蓄100万</t>
        </is>
      </c>
      <c r="C12" s="33" t="inlineStr">
        <is>
          <t>区分ウ</t>
        </is>
      </c>
      <c r="D12" s="42" t="n">
        <v>92940</v>
      </c>
      <c r="E12" s="42" t="n">
        <v>100000</v>
      </c>
      <c r="F12" s="42">
        <f>ROUND((D12+E12)/10000,0)</f>
        <v/>
      </c>
      <c r="G12" s="42">
        <f>ROUND((D12+E12)*3/10000,0)</f>
        <v/>
      </c>
      <c r="H12" s="42" t="n">
        <v>100</v>
      </c>
      <c r="I12" s="43">
        <f>ROUND(H12/G12,1)</f>
        <v/>
      </c>
      <c r="J12" s="45">
        <f>IF(I12&gt;=$B$1000,"self_insurable",IF(I12&gt;=1,"partial","needed"))</f>
        <v/>
      </c>
    </row>
    <row r="13" ht="15" customHeight="1" s="27">
      <c r="A13" s="32" t="inlineStr">
        <is>
          <t>GT-09</t>
        </is>
      </c>
      <c r="B13" s="33" t="inlineStr">
        <is>
          <t>夫50(1200万)/妻48(600万)/子20歳/持家ローンなし/貯蓄2000万</t>
        </is>
      </c>
      <c r="C13" s="33" t="inlineStr">
        <is>
          <t>区分ア</t>
        </is>
      </c>
      <c r="D13" s="42" t="n">
        <v>271290</v>
      </c>
      <c r="E13" s="42" t="n">
        <v>100000</v>
      </c>
      <c r="F13" s="42">
        <f>ROUND((D13+E13)/10000,0)</f>
        <v/>
      </c>
      <c r="G13" s="42">
        <f>ROUND((D13+E13)*3/10000,0)</f>
        <v/>
      </c>
      <c r="H13" s="42" t="n">
        <v>2000</v>
      </c>
      <c r="I13" s="43">
        <f>ROUND(H13/G13,1)</f>
        <v/>
      </c>
      <c r="J13" s="44">
        <f>IF(I13&gt;=$B$1000,"self_insurable",IF(I13&gt;=1,"partial","needed"))</f>
        <v/>
      </c>
    </row>
    <row r="14" ht="15" customHeight="1" s="27">
      <c r="A14" s="32" t="inlineStr">
        <is>
          <t>GT-10</t>
        </is>
      </c>
      <c r="B14" s="33" t="inlineStr">
        <is>
          <t>夫38(300万)/妻36(700万)/子6歳/持家・団信あり(妻名義)/貯蓄400万</t>
        </is>
      </c>
      <c r="C14" s="33" t="inlineStr">
        <is>
          <t>区分ウ</t>
        </is>
      </c>
      <c r="D14" s="42" t="n">
        <v>92940</v>
      </c>
      <c r="E14" s="42" t="n">
        <v>100000</v>
      </c>
      <c r="F14" s="42">
        <f>ROUND((D14+E14)/10000,0)</f>
        <v/>
      </c>
      <c r="G14" s="42">
        <f>ROUND((D14+E14)*3/10000,0)</f>
        <v/>
      </c>
      <c r="H14" s="42" t="n">
        <v>400</v>
      </c>
      <c r="I14" s="43">
        <f>ROUND(H14/G14,1)</f>
        <v/>
      </c>
      <c r="J14" s="44">
        <f>IF(I14&gt;=$B$1000,"self_insurable",IF(I14&gt;=1,"partial","needed"))</f>
        <v/>
      </c>
    </row>
    <row r="16" ht="15" customHeight="1" s="27">
      <c r="A16" s="39" t="inlineStr">
        <is>
          <t>※ 想定医療費は月100万円（3割負担前）を仮置き。入院期間は患者調査の平均在院日数に差し替えること（要一次情報確認）。</t>
        </is>
      </c>
    </row>
    <row r="17" ht="15" customHeight="1" s="27">
      <c r="A17" s="39" t="inlineStr">
        <is>
          <t>※ 保険外費用（差額ベッド・食事・雑費）月10万円は民間調査ベースの仮置き。出典を確定させること。</t>
        </is>
      </c>
    </row>
    <row r="1000" ht="15" customHeight="1" s="27">
      <c r="A1000" s="46" t="inlineStr">
        <is>
          <t>自己保険と判定する資産倍率（当社基準）</t>
        </is>
      </c>
      <c r="B1000" s="47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4" customWidth="1" style="26" min="2" max="2"/>
    <col width="10" customWidth="1" style="26" min="3" max="3"/>
    <col width="12" customWidth="1" style="26" min="4" max="4"/>
    <col width="58" customWidth="1" style="26" min="5" max="5"/>
    <col width="18" customWidth="1" style="26" min="6" max="6"/>
  </cols>
  <sheetData>
    <row r="1" ht="21.6" customHeight="1" s="27">
      <c r="A1" s="28" t="inlineStr">
        <is>
          <t>制度パラメータと当社基準（黄色＝本人が結果画面で動かせる値／grill Q8）</t>
        </is>
      </c>
    </row>
    <row r="3" ht="15" customHeight="1" s="27">
      <c r="A3" s="48" t="inlineStr">
        <is>
          <t>キー</t>
        </is>
      </c>
      <c r="B3" s="48" t="inlineStr">
        <is>
          <t>値</t>
        </is>
      </c>
      <c r="C3" s="48" t="inlineStr">
        <is>
          <t>単位</t>
        </is>
      </c>
      <c r="D3" s="48" t="inlineStr">
        <is>
          <t>区分</t>
        </is>
      </c>
      <c r="E3" s="48" t="inlineStr">
        <is>
          <t>出典・根拠</t>
        </is>
      </c>
      <c r="F3" s="48" t="inlineStr">
        <is>
          <t>一次情報で確認済み</t>
        </is>
      </c>
    </row>
    <row r="4" ht="15" customHeight="1" s="27">
      <c r="A4" s="32" t="inlineStr">
        <is>
          <t>izoku_kiso_base</t>
        </is>
      </c>
      <c r="B4" s="32" t="n">
        <v>847500</v>
      </c>
      <c r="C4" s="33" t="inlineStr">
        <is>
          <t>円/年</t>
        </is>
      </c>
      <c r="D4" s="33" t="inlineStr">
        <is>
          <t>公的</t>
        </is>
      </c>
      <c r="E4" s="33" t="inlineStr">
        <is>
          <t>日本年金機構 令和8年度年金額（報道値ベース）</t>
        </is>
      </c>
      <c r="F4" s="49" t="inlineStr">
        <is>
          <t>×</t>
        </is>
      </c>
    </row>
    <row r="5" ht="15" customHeight="1" s="27">
      <c r="A5" s="32" t="inlineStr">
        <is>
          <t>child_add_1_2</t>
        </is>
      </c>
      <c r="B5" s="32" t="n">
        <v>243900</v>
      </c>
      <c r="C5" s="33" t="inlineStr">
        <is>
          <t>円/年</t>
        </is>
      </c>
      <c r="D5" s="33" t="inlineStr">
        <is>
          <t>公的</t>
        </is>
      </c>
      <c r="E5" s="33" t="inlineStr">
        <is>
          <t>同上 子の加算 第1・2子</t>
        </is>
      </c>
      <c r="F5" s="49" t="inlineStr">
        <is>
          <t>×</t>
        </is>
      </c>
    </row>
    <row r="6" ht="15" customHeight="1" s="27">
      <c r="A6" s="32" t="inlineStr">
        <is>
          <t>child_add_3plus</t>
        </is>
      </c>
      <c r="B6" s="32" t="n">
        <v>81300</v>
      </c>
      <c r="C6" s="33" t="inlineStr">
        <is>
          <t>円/年</t>
        </is>
      </c>
      <c r="D6" s="33" t="inlineStr">
        <is>
          <t>公的</t>
        </is>
      </c>
      <c r="E6" s="33" t="inlineStr">
        <is>
          <t>同上 第3子以降</t>
        </is>
      </c>
      <c r="F6" s="49" t="inlineStr">
        <is>
          <t>×</t>
        </is>
      </c>
    </row>
    <row r="7" ht="15" customHeight="1" s="27">
      <c r="A7" s="32" t="inlineStr">
        <is>
          <t>chukorei_kafu_add</t>
        </is>
      </c>
      <c r="B7" s="32" t="n">
        <v>635700</v>
      </c>
      <c r="C7" s="33" t="inlineStr">
        <is>
          <t>円/年</t>
        </is>
      </c>
      <c r="D7" s="33" t="inlineStr">
        <is>
          <t>公的</t>
        </is>
      </c>
      <c r="E7" s="33" t="inlineStr">
        <is>
          <t>中高齢寡婦加算＝老齢基礎年金満額の3/4相当</t>
        </is>
      </c>
      <c r="F7" s="49" t="inlineStr">
        <is>
          <t>×</t>
        </is>
      </c>
    </row>
    <row r="8" ht="15" customHeight="1" s="27">
      <c r="A8" s="32" t="inlineStr">
        <is>
          <t>hoshu_hirei_coef</t>
        </is>
      </c>
      <c r="B8" s="32" t="n">
        <v>0.005481</v>
      </c>
      <c r="C8" s="33" t="inlineStr">
        <is>
          <t>率</t>
        </is>
      </c>
      <c r="D8" s="33" t="inlineStr">
        <is>
          <t>公的</t>
        </is>
      </c>
      <c r="E8" s="33" t="inlineStr">
        <is>
          <t>報酬比例部分の乗率 5.481/1000</t>
        </is>
      </c>
      <c r="F8" s="50" t="inlineStr">
        <is>
          <t>○</t>
        </is>
      </c>
    </row>
    <row r="9" ht="15" customHeight="1" s="27">
      <c r="A9" s="32" t="inlineStr">
        <is>
          <t>izoku_kosei_ratio</t>
        </is>
      </c>
      <c r="B9" s="32" t="n">
        <v>0.75</v>
      </c>
      <c r="C9" s="33" t="inlineStr">
        <is>
          <t>率</t>
        </is>
      </c>
      <c r="D9" s="33" t="inlineStr">
        <is>
          <t>公的</t>
        </is>
      </c>
      <c r="E9" s="33" t="inlineStr">
        <is>
          <t>報酬比例部分の3/4</t>
        </is>
      </c>
      <c r="F9" s="50" t="inlineStr">
        <is>
          <t>○</t>
        </is>
      </c>
    </row>
    <row r="10" ht="15" customHeight="1" s="27">
      <c r="A10" s="32" t="inlineStr">
        <is>
          <t>minimum_insured_months</t>
        </is>
      </c>
      <c r="B10" s="32" t="n">
        <v>300</v>
      </c>
      <c r="C10" s="33" t="inlineStr">
        <is>
          <t>月</t>
        </is>
      </c>
      <c r="D10" s="33" t="inlineStr">
        <is>
          <t>公的</t>
        </is>
      </c>
      <c r="E10" s="33" t="inlineStr">
        <is>
          <t>短期要件のみなし300月</t>
        </is>
      </c>
      <c r="F10" s="50" t="inlineStr">
        <is>
          <t>○</t>
        </is>
      </c>
    </row>
    <row r="11" ht="15" customHeight="1" s="27">
      <c r="A11" s="32" t="inlineStr">
        <is>
          <t>reform2028_years</t>
        </is>
      </c>
      <c r="B11" s="32" t="n">
        <v>5</v>
      </c>
      <c r="C11" s="33" t="inlineStr">
        <is>
          <t>年</t>
        </is>
      </c>
      <c r="D11" s="33" t="inlineStr">
        <is>
          <t>公的</t>
        </is>
      </c>
      <c r="E11" s="32" t="inlineStr">
        <is>
          <t>2028年4月〜 子のない配偶者は原則5年の有期給付</t>
        </is>
      </c>
      <c r="F11" s="49" t="inlineStr">
        <is>
          <t>×</t>
        </is>
      </c>
    </row>
    <row r="12" ht="15" customHeight="1" s="27">
      <c r="A12" s="33" t="inlineStr">
        <is>
          <t>高額療養費 区分ウ</t>
        </is>
      </c>
      <c r="B12" s="32" t="n">
        <v>85800</v>
      </c>
      <c r="C12" s="33" t="inlineStr">
        <is>
          <t>円＋1%</t>
        </is>
      </c>
      <c r="D12" s="33" t="inlineStr">
        <is>
          <t>公的</t>
        </is>
      </c>
      <c r="E12" s="32" t="inlineStr">
        <is>
          <t>2026年8月施行（第1段階）</t>
        </is>
      </c>
      <c r="F12" s="49" t="inlineStr">
        <is>
          <t>×</t>
        </is>
      </c>
    </row>
    <row r="13" ht="15" customHeight="1" s="27">
      <c r="A13" s="32" t="inlineStr">
        <is>
          <t>survivor_living_ratio_child</t>
        </is>
      </c>
      <c r="B13" s="51" t="n">
        <v>0.7</v>
      </c>
      <c r="C13" s="33" t="inlineStr">
        <is>
          <t>率</t>
        </is>
      </c>
      <c r="D13" s="33" t="inlineStr">
        <is>
          <t>当社基準</t>
        </is>
      </c>
      <c r="E13" s="33" t="inlineStr">
        <is>
          <t>遺族の生活費率（子育て期）。公的出典なし＝業界慣行</t>
        </is>
      </c>
      <c r="F13" s="50" t="inlineStr">
        <is>
          <t>―</t>
        </is>
      </c>
    </row>
    <row r="14" ht="15" customHeight="1" s="27">
      <c r="A14" s="32" t="inlineStr">
        <is>
          <t>survivor_living_ratio_alone</t>
        </is>
      </c>
      <c r="B14" s="51" t="n">
        <v>0.5</v>
      </c>
      <c r="C14" s="33" t="inlineStr">
        <is>
          <t>率</t>
        </is>
      </c>
      <c r="D14" s="33" t="inlineStr">
        <is>
          <t>当社基準</t>
        </is>
      </c>
      <c r="E14" s="33" t="inlineStr">
        <is>
          <t>遺族の生活費率（末子独立後）。公的出典なし</t>
        </is>
      </c>
      <c r="F14" s="50" t="inlineStr">
        <is>
          <t>―</t>
        </is>
      </c>
    </row>
    <row r="15" ht="15" customHeight="1" s="27">
      <c r="A15" s="32" t="inlineStr">
        <is>
          <t>net_income_ratio</t>
        </is>
      </c>
      <c r="B15" s="51" t="n">
        <v>0.8</v>
      </c>
      <c r="C15" s="33" t="inlineStr">
        <is>
          <t>率</t>
        </is>
      </c>
      <c r="D15" s="33" t="inlineStr">
        <is>
          <t>当社基準</t>
        </is>
      </c>
      <c r="E15" s="33" t="inlineStr">
        <is>
          <t>年収→手取り。公的出典なし</t>
        </is>
      </c>
      <c r="F15" s="50" t="inlineStr">
        <is>
          <t>―</t>
        </is>
      </c>
    </row>
    <row r="16" ht="15" customHeight="1" s="27">
      <c r="A16" s="32" t="inlineStr">
        <is>
          <t>post_indep_min_income</t>
        </is>
      </c>
      <c r="B16" s="51" t="n">
        <v>1000000</v>
      </c>
      <c r="C16" s="33" t="inlineStr">
        <is>
          <t>円/年</t>
        </is>
      </c>
      <c r="D16" s="33" t="inlineStr">
        <is>
          <t>当社基準</t>
        </is>
      </c>
      <c r="E16" s="33" t="inlineStr">
        <is>
          <t>末子独立後の最低就労推定（パート相当）。grill Q3-bで新設</t>
        </is>
      </c>
      <c r="F16" s="50" t="inlineStr">
        <is>
          <t>―</t>
        </is>
      </c>
    </row>
    <row r="17" ht="15" customHeight="1" s="27">
      <c r="A17" s="32" t="inlineStr">
        <is>
          <t>living_cost_from_income</t>
        </is>
      </c>
      <c r="B17" s="51" t="n">
        <v>0.75</v>
      </c>
      <c r="C17" s="33" t="inlineStr">
        <is>
          <t>率</t>
        </is>
      </c>
      <c r="D17" s="33" t="inlineStr">
        <is>
          <t>当社基準</t>
        </is>
      </c>
      <c r="E17" s="33" t="inlineStr">
        <is>
          <t>年収から生活費を推定する場合</t>
        </is>
      </c>
      <c r="F17" s="50" t="inlineStr">
        <is>
          <t>―</t>
        </is>
      </c>
    </row>
    <row r="18" ht="15" customHeight="1" s="27">
      <c r="A18" s="32" t="inlineStr">
        <is>
          <t>funeral_reserve</t>
        </is>
      </c>
      <c r="B18" s="32" t="n">
        <v>2000000</v>
      </c>
      <c r="C18" s="33" t="inlineStr">
        <is>
          <t>円</t>
        </is>
      </c>
      <c r="D18" s="33" t="inlineStr">
        <is>
          <t>要出典</t>
        </is>
      </c>
      <c r="E18" s="33" t="inlineStr">
        <is>
          <t>葬儀費用の民間大規模調査に差し替える</t>
        </is>
      </c>
      <c r="F18" s="49" t="inlineStr">
        <is>
          <t>×</t>
        </is>
      </c>
    </row>
    <row r="19" ht="15" customHeight="1" s="27">
      <c r="A19" s="32" t="inlineStr">
        <is>
          <t>education_public</t>
        </is>
      </c>
      <c r="B19" s="32" t="n">
        <v>10000000</v>
      </c>
      <c r="C19" s="33" t="inlineStr">
        <is>
          <t>円/人</t>
        </is>
      </c>
      <c r="D19" s="33" t="inlineStr">
        <is>
          <t>要出典</t>
        </is>
      </c>
      <c r="E19" s="33" t="inlineStr">
        <is>
          <t>文科省 子供の学習費調査＋日本政策金融公庫 教育費負担の実態調査</t>
        </is>
      </c>
      <c r="F19" s="49" t="inlineStr">
        <is>
          <t>×</t>
        </is>
      </c>
    </row>
    <row r="20" ht="15" customHeight="1" s="27">
      <c r="A20" s="32" t="inlineStr">
        <is>
          <t>hospital_months_std</t>
        </is>
      </c>
      <c r="B20" s="32" t="n">
        <v>1</v>
      </c>
      <c r="C20" s="33" t="inlineStr">
        <is>
          <t>ヶ月</t>
        </is>
      </c>
      <c r="D20" s="33" t="inlineStr">
        <is>
          <t>要出典</t>
        </is>
      </c>
      <c r="E20" s="33" t="inlineStr">
        <is>
          <t>厚労省 患者調査 平均在院日数に差し替える</t>
        </is>
      </c>
      <c r="F20" s="49" t="inlineStr">
        <is>
          <t>×</t>
        </is>
      </c>
    </row>
    <row r="21" ht="15" customHeight="1" s="27">
      <c r="A21" s="32" t="inlineStr">
        <is>
          <t>uncovered_medical_monthly</t>
        </is>
      </c>
      <c r="B21" s="32" t="n">
        <v>100000</v>
      </c>
      <c r="C21" s="33" t="inlineStr">
        <is>
          <t>円/月</t>
        </is>
      </c>
      <c r="D21" s="33" t="inlineStr">
        <is>
          <t>要出典</t>
        </is>
      </c>
      <c r="E21" s="33" t="inlineStr">
        <is>
          <t>差額ベッド・食事・雑費。民間調査に差し替える</t>
        </is>
      </c>
      <c r="F21" s="49" t="inlineStr">
        <is>
          <t>×</t>
        </is>
      </c>
    </row>
    <row r="22" ht="15" customHeight="1" s="27">
      <c r="A22" s="32" t="inlineStr">
        <is>
          <t>self_insure_multiple</t>
        </is>
      </c>
      <c r="B22" s="51" t="n">
        <v>3</v>
      </c>
      <c r="C22" s="33" t="inlineStr">
        <is>
          <t>倍</t>
        </is>
      </c>
      <c r="D22" s="33" t="inlineStr">
        <is>
          <t>当社基準</t>
        </is>
      </c>
      <c r="E22" s="33" t="inlineStr">
        <is>
          <t>自己保険と判定する資産倍率。根拠なし＝当社判断として明示する</t>
        </is>
      </c>
      <c r="F22" s="50" t="inlineStr">
        <is>
          <t>―</t>
        </is>
      </c>
    </row>
    <row r="24" ht="15" customHeight="1" s="27">
      <c r="A24" s="52" t="inlineStr">
        <is>
          <t>× ＝ 一次情報での確認が必要（verified:false）。この状態で本番に出さないこと（ADR-004）。</t>
        </is>
      </c>
    </row>
    <row r="25" ht="15" customHeight="1" s="27">
      <c r="A25" s="39" t="inlineStr">
        <is>
          <t>― ＝ 公的出典が存在しない当社基準。結果画面で「当社基準」と明示し、本人が動かせるようにする（grill Q8）。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教育費（段階別モデル）の検算 ─ 機能仕様書 §4.2.2 / params.education</t>
        </is>
      </c>
    </row>
    <row r="2">
      <c r="A2" s="26" t="inlineStr">
        <is>
          <t>2026-09-23再構築（60dbe72追随・検算自体は8/23に人が実施済み）。対応コミット 60dbe72（2026-08-23 教育費を段階別に作り替える）。ファイルへの反映だけが漏れていた</t>
        </is>
      </c>
    </row>
    <row r="3">
      <c r="A3" s="26" t="inlineStr">
        <is>
          <t>出典：文科省「令和5年度 子供の学習費調査」学習費総額（塾・部活・行事・制服を含む実支出）。高校は就学支援金を控除。大学は4年総額÷4</t>
        </is>
      </c>
    </row>
    <row r="5">
      <c r="A5" s="26" t="inlineStr">
        <is>
          <t>段階</t>
        </is>
      </c>
      <c r="B5" s="26" t="inlineStr">
        <is>
          <t>開始年齢</t>
        </is>
      </c>
      <c r="C5" s="26" t="inlineStr">
        <is>
          <t>終了年齢</t>
        </is>
      </c>
      <c r="D5" s="26" t="inlineStr">
        <is>
          <t>公立 年額(円)</t>
        </is>
      </c>
      <c r="E5" s="26" t="inlineStr">
        <is>
          <t>私立 年額(円)</t>
        </is>
      </c>
      <c r="F5" s="26" t="inlineStr">
        <is>
          <t>就学支援金(円)</t>
        </is>
      </c>
    </row>
    <row r="6">
      <c r="A6" s="26" t="inlineStr">
        <is>
          <t>幼稚園</t>
        </is>
      </c>
      <c r="B6" s="26" t="n">
        <v>3</v>
      </c>
      <c r="C6" s="26" t="n">
        <v>5</v>
      </c>
      <c r="D6" s="26" t="n">
        <v>184644</v>
      </c>
      <c r="E6" s="26" t="n">
        <v>347338</v>
      </c>
      <c r="F6" s="26" t="n">
        <v>0</v>
      </c>
    </row>
    <row r="7">
      <c r="A7" s="26" t="inlineStr">
        <is>
          <t>小学校</t>
        </is>
      </c>
      <c r="B7" s="26" t="n">
        <v>6</v>
      </c>
      <c r="C7" s="26" t="n">
        <v>11</v>
      </c>
      <c r="D7" s="26" t="n">
        <v>336265</v>
      </c>
      <c r="E7" s="26" t="n">
        <v>1828112</v>
      </c>
      <c r="F7" s="26" t="n">
        <v>0</v>
      </c>
    </row>
    <row r="8">
      <c r="A8" s="26" t="inlineStr">
        <is>
          <t>中学校</t>
        </is>
      </c>
      <c r="B8" s="26" t="n">
        <v>12</v>
      </c>
      <c r="C8" s="26" t="n">
        <v>14</v>
      </c>
      <c r="D8" s="26" t="n">
        <v>542475</v>
      </c>
      <c r="E8" s="26" t="n">
        <v>1560359</v>
      </c>
      <c r="F8" s="26" t="n">
        <v>0</v>
      </c>
    </row>
    <row r="9">
      <c r="A9" s="26" t="inlineStr">
        <is>
          <t>高校</t>
        </is>
      </c>
      <c r="B9" s="26" t="n">
        <v>15</v>
      </c>
      <c r="C9" s="26" t="n">
        <v>17</v>
      </c>
      <c r="D9" s="26" t="n">
        <v>597752</v>
      </c>
      <c r="E9" s="26" t="n">
        <v>1030283</v>
      </c>
      <c r="F9" s="26" t="n">
        <v>118800</v>
      </c>
    </row>
    <row r="10">
      <c r="A10" s="26" t="inlineStr">
        <is>
          <t>大学</t>
        </is>
      </c>
      <c r="B10" s="26" t="n">
        <v>18</v>
      </c>
      <c r="C10" s="26" t="n">
        <v>21</v>
      </c>
      <c r="D10" s="26" t="n">
        <v>606300</v>
      </c>
      <c r="E10" s="26" t="n">
        <v>1417500</v>
      </c>
      <c r="F10" s="26" t="n">
        <v>0</v>
      </c>
    </row>
    <row r="12">
      <c r="A12" s="26" t="inlineStr">
        <is>
          <t>地域係数</t>
        </is>
      </c>
      <c r="B12" s="26" t="n">
        <v>1</v>
      </c>
      <c r="C12" s="26" t="inlineStr">
        <is>
          <t>当面 1.0（全国平均）</t>
        </is>
      </c>
    </row>
    <row r="14">
      <c r="A14" s="26" t="inlineStr">
        <is>
          <t>公立中心（幼=公立/小=公立/中=公立/高=公立/大=国立）の年額。年齢ごとに段階を引く</t>
        </is>
      </c>
    </row>
    <row r="15">
      <c r="A15" s="26" t="inlineStr">
        <is>
          <t>年齢</t>
        </is>
      </c>
      <c r="B15" s="26" t="n">
        <v>0</v>
      </c>
      <c r="C15" s="26" t="n">
        <v>1</v>
      </c>
      <c r="D15" s="26" t="n">
        <v>2</v>
      </c>
      <c r="E15" s="26" t="n">
        <v>3</v>
      </c>
      <c r="F15" s="26" t="n">
        <v>4</v>
      </c>
      <c r="G15" s="26" t="n">
        <v>5</v>
      </c>
      <c r="H15" s="26" t="n">
        <v>6</v>
      </c>
      <c r="I15" s="26" t="n">
        <v>7</v>
      </c>
      <c r="J15" s="26" t="n">
        <v>8</v>
      </c>
      <c r="K15" s="26" t="n">
        <v>9</v>
      </c>
      <c r="L15" s="26" t="n">
        <v>10</v>
      </c>
      <c r="M15" s="26" t="n">
        <v>11</v>
      </c>
      <c r="N15" s="26" t="n">
        <v>12</v>
      </c>
      <c r="O15" s="26" t="n">
        <v>13</v>
      </c>
      <c r="P15" s="26" t="n">
        <v>14</v>
      </c>
      <c r="Q15" s="26" t="n">
        <v>15</v>
      </c>
      <c r="R15" s="26" t="n">
        <v>16</v>
      </c>
      <c r="S15" s="26" t="n">
        <v>17</v>
      </c>
      <c r="T15" s="26" t="n">
        <v>18</v>
      </c>
      <c r="U15" s="26" t="n">
        <v>19</v>
      </c>
      <c r="V15" s="26" t="n">
        <v>20</v>
      </c>
      <c r="W15" s="26" t="n">
        <v>21</v>
      </c>
    </row>
    <row r="16">
      <c r="A16" s="26" t="inlineStr">
        <is>
          <t>公立中心の年額(円)</t>
        </is>
      </c>
      <c r="B16" s="26">
        <f>0</f>
        <v/>
      </c>
      <c r="C16" s="26">
        <f>0</f>
        <v/>
      </c>
      <c r="D16" s="26">
        <f>0</f>
        <v/>
      </c>
      <c r="E16" s="26">
        <f>($D$6-$F$6)*$B$12</f>
        <v/>
      </c>
      <c r="F16" s="26">
        <f>($D$6-$F$6)*$B$12</f>
        <v/>
      </c>
      <c r="G16" s="26">
        <f>($D$6-$F$6)*$B$12</f>
        <v/>
      </c>
      <c r="H16" s="26">
        <f>($D$7-$F$7)*$B$12</f>
        <v/>
      </c>
      <c r="I16" s="26">
        <f>($D$7-$F$7)*$B$12</f>
        <v/>
      </c>
      <c r="J16" s="26">
        <f>($D$7-$F$7)*$B$12</f>
        <v/>
      </c>
      <c r="K16" s="26">
        <f>($D$7-$F$7)*$B$12</f>
        <v/>
      </c>
      <c r="L16" s="26">
        <f>($D$7-$F$7)*$B$12</f>
        <v/>
      </c>
      <c r="M16" s="26">
        <f>($D$7-$F$7)*$B$12</f>
        <v/>
      </c>
      <c r="N16" s="26">
        <f>($D$8-$F$8)*$B$12</f>
        <v/>
      </c>
      <c r="O16" s="26">
        <f>($D$8-$F$8)*$B$12</f>
        <v/>
      </c>
      <c r="P16" s="26">
        <f>($D$8-$F$8)*$B$12</f>
        <v/>
      </c>
      <c r="Q16" s="26">
        <f>($D$9-$F$9)*$B$12</f>
        <v/>
      </c>
      <c r="R16" s="26">
        <f>($D$9-$F$9)*$B$12</f>
        <v/>
      </c>
      <c r="S16" s="26">
        <f>($D$9-$F$9)*$B$12</f>
        <v/>
      </c>
      <c r="T16" s="26">
        <f>$D$10*$B$12</f>
        <v/>
      </c>
      <c r="U16" s="26">
        <f>$D$10*$B$12</f>
        <v/>
      </c>
      <c r="V16" s="26">
        <f>$D$10*$B$12</f>
        <v/>
      </c>
      <c r="W16" s="26">
        <f>$D$10*$B$12</f>
        <v/>
      </c>
    </row>
    <row r="18">
      <c r="A18" s="26" t="inlineStr">
        <is>
          <t>世帯</t>
        </is>
      </c>
      <c r="B18" s="26" t="inlineStr">
        <is>
          <t>子の現年齢</t>
        </is>
      </c>
      <c r="C18" s="26" t="inlineStr">
        <is>
          <t>教育費(円)＝現年齢〜21歳の合計</t>
        </is>
      </c>
      <c r="D18" s="26" t="inlineStr">
        <is>
          <t>教育費(万円)</t>
        </is>
      </c>
    </row>
    <row r="19">
      <c r="A19" s="26" t="inlineStr">
        <is>
          <t>GT-02</t>
        </is>
      </c>
      <c r="B19" s="26" t="inlineStr">
        <is>
          <t>5歳・2歳</t>
        </is>
      </c>
      <c r="C19" s="26">
        <f>SUM(G$16:W$16)+SUM(D$16:W$16)</f>
        <v/>
      </c>
      <c r="D19" s="26">
        <f>ROUND(C19/10000,0)</f>
        <v/>
      </c>
    </row>
    <row r="20">
      <c r="A20" s="26" t="inlineStr">
        <is>
          <t>GT-06</t>
        </is>
      </c>
      <c r="B20" s="26" t="inlineStr">
        <is>
          <t>12歳</t>
        </is>
      </c>
      <c r="C20" s="26">
        <f>SUM(N$16:W$16)</f>
        <v/>
      </c>
      <c r="D20" s="26">
        <f>ROUND(C20/10000,0)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2026-08-17T11:22:00Z</dcterms:created>
  <dcterms:modified xmlns:dcterms="http://purl.org/dc/terms/" xmlns:xsi="http://www.w3.org/2001/XMLSchema-instance" xsi:type="dcterms:W3CDTF">2026-10-16T21:08:11Z</dcterms:modified>
  <cp:revision>0</cp:revision>
</cp:coreProperties>
</file>